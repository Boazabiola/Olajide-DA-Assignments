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60CBF39-6653-4DD5-BEE5-0DDF86BD81CB}" xr6:coauthVersionLast="47" xr6:coauthVersionMax="47" xr10:uidLastSave="{00000000-0000-0000-0000-000000000000}"/>
  <bookViews>
    <workbookView xWindow="-120" yWindow="-120" windowWidth="20730" windowHeight="11160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F11" i="6"/>
  <c r="F10" i="6"/>
  <c r="F9" i="6"/>
  <c r="F8" i="6" a="1"/>
  <c r="F8" i="6" s="1"/>
  <c r="F7" i="6"/>
  <c r="A5" i="10"/>
  <c r="A2" i="10"/>
  <c r="E7" i="9" a="1"/>
  <c r="E7" i="9" s="1"/>
  <c r="E3" i="9"/>
  <c r="C24" i="8" a="1"/>
  <c r="C24" i="8" s="1"/>
  <c r="C23" i="8"/>
  <c r="C19" i="8"/>
  <c r="C15" i="8"/>
  <c r="C11" i="8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F3" i="6" a="1"/>
  <c r="F3" i="6" s="1"/>
  <c r="F2" i="6"/>
  <c r="E12" i="5"/>
  <c r="E11" i="5"/>
  <c r="E10" i="5"/>
  <c r="E7" i="5"/>
  <c r="E6" i="5"/>
  <c r="E5" i="5"/>
  <c r="E4" i="5"/>
  <c r="E3" i="5"/>
  <c r="B9" i="5"/>
  <c r="F2" i="5"/>
  <c r="E2" i="5"/>
  <c r="B5" i="4"/>
  <c r="B9" i="12"/>
  <c r="C5" i="12"/>
  <c r="B5" i="12"/>
  <c r="D5" i="12"/>
  <c r="E5" i="12"/>
  <c r="C4" i="12"/>
  <c r="D4" i="12"/>
  <c r="E4" i="12"/>
  <c r="B4" i="12"/>
  <c r="E3" i="12"/>
  <c r="E2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<sst xmlns="http://schemas.openxmlformats.org/spreadsheetml/2006/main" count="150" uniqueCount="73">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</sst>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tabSelected="1" zoomScale="106" zoomScaleNormal="106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25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25">
      <c r="A5" s="2" t="s">
        <v>8</v>
      </c>
      <c r="B5">
        <f>B4*TaxRate</f>
        <v>0.60000000000000009</v>
      </c>
      <c r="C5">
        <f>C4*TaxRate</f>
        <v>0.5</v>
      </c>
      <c r="D5">
        <f t="shared" ref="D5:E5" si="1">D4*$G$2</f>
        <v>0.30000000000000004</v>
      </c>
      <c r="E5">
        <f t="shared" si="1"/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8" zoomScaleNormal="98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98" zoomScaleNormal="98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Normal="100" workbookViewId="0">
      <selection activeCell="E12" sqref="E12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6" x14ac:dyDescent="0.25">
      <c r="A1" s="2" t="s">
        <v>13</v>
      </c>
      <c r="B1" s="2" t="s">
        <v>14</v>
      </c>
    </row>
    <row r="2" spans="1:6" x14ac:dyDescent="0.25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6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6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6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6" x14ac:dyDescent="0.25">
      <c r="A8" t="s">
        <v>24</v>
      </c>
      <c r="B8">
        <v>36</v>
      </c>
    </row>
    <row r="9" spans="1:6" x14ac:dyDescent="0.25">
      <c r="B9">
        <f>SUM(B2:B8)</f>
        <v>421</v>
      </c>
    </row>
    <row r="10" spans="1:6" x14ac:dyDescent="0.25">
      <c r="D10" t="s">
        <v>25</v>
      </c>
      <c r="E10">
        <f>AVERAGE(B2:B8)</f>
        <v>60.142857142857146</v>
      </c>
    </row>
    <row r="11" spans="1:6" x14ac:dyDescent="0.25">
      <c r="D11" t="s">
        <v>26</v>
      </c>
      <c r="E11">
        <f>MEDIAN(B2:B8)</f>
        <v>52</v>
      </c>
    </row>
    <row r="12" spans="1:6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06" zoomScaleNormal="106" workbookViewId="0">
      <selection activeCell="F13" sqref="F13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  <c r="F7">
        <f>AVERAGEIF(B:B,B2,C:C)</f>
        <v>51.714285714285715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  <c r="F8" cm="1">
        <f t="array" ref="F8">SUM(AVERAGEIFS(C:C,B:B,B2,A:A,A2:A4))</f>
        <v>112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  <c r="F9">
        <f>COUNTIF(B:B,"*s")</f>
        <v>14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  <c r="F10">
        <f>COUNTIFS(A:A,A2,B:B,B2)</f>
        <v>1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  <c r="F11">
        <f>_xlfn.MINIFS(C:C,B:B,"*s",A:A,A5)</f>
        <v>67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  <c r="F12">
        <f>_xlfn.MAXIFS(C:C,B:B,"*s",A:A,A5)</f>
        <v>89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zoomScale="106" zoomScaleNormal="106" workbookViewId="0">
      <selection activeCell="A19" sqref="A19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0" zoomScale="106" zoomScaleNormal="106" workbookViewId="0">
      <selection activeCell="C25" sqref="C25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A3=B3</f>
        <v>0</v>
      </c>
    </row>
    <row r="4" spans="1:3" x14ac:dyDescent="0.25">
      <c r="B4">
        <v>11</v>
      </c>
      <c r="C4" t="b">
        <f>10&gt;5</f>
        <v>1</v>
      </c>
    </row>
    <row r="5" spans="1:3" x14ac:dyDescent="0.25">
      <c r="C5" t="b">
        <f>10&gt;=5</f>
        <v>1</v>
      </c>
    </row>
    <row r="6" spans="1:3" x14ac:dyDescent="0.25">
      <c r="C6" t="b">
        <f>AND(A3&gt;B3,A3&gt;B4)</f>
        <v>0</v>
      </c>
    </row>
    <row r="7" spans="1:3" x14ac:dyDescent="0.25">
      <c r="C7" t="b">
        <f>OR(A3&gt;B3,A3&lt;B4)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Chip","Oatmeal Raisen")</f>
        <v>Oatmeal Raisen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IF(E22=A22,B22,IF(E22=A23,B23,IF(E22=A24,B24,"unknown")))</f>
        <v>5</v>
      </c>
    </row>
    <row r="24" spans="1:5" x14ac:dyDescent="0.25">
      <c r="A24" t="s">
        <v>2</v>
      </c>
      <c r="B24">
        <v>5</v>
      </c>
      <c r="C24" cm="1">
        <f t="array" ref="C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Normal="100" workbookViewId="0">
      <selection activeCell="E7" sqref="E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  <row r="7" spans="1:6" x14ac:dyDescent="0.25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112" zoomScaleNormal="112" workbookViewId="0">
      <selection activeCell="A6" sqref="A6"/>
    </sheetView>
  </sheetViews>
  <sheetFormatPr defaultRowHeight="15" x14ac:dyDescent="0.25"/>
  <cols>
    <col min="1" max="1" width="15.8554687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46087</v>
      </c>
    </row>
    <row r="4" spans="1:1" x14ac:dyDescent="0.25">
      <c r="A4" s="2" t="s">
        <v>72</v>
      </c>
    </row>
    <row r="5" spans="1:1" x14ac:dyDescent="0.25">
      <c r="A5" s="7">
        <f ca="1">NOW()</f>
        <v>46087.784028703703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Normal="100" workbookViewId="0">
      <selection activeCell="B4" sqref="B4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4+2</f>
        <v>6</v>
      </c>
    </row>
    <row r="4" spans="1:2" x14ac:dyDescent="0.2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abiolaolajideboaz@gmail.com</cp:lastModifiedBy>
  <cp:revision/>
  <dcterms:created xsi:type="dcterms:W3CDTF">2022-05-10T22:30:35Z</dcterms:created>
  <dcterms:modified xsi:type="dcterms:W3CDTF">2026-03-06T17:56:05Z</dcterms:modified>
  <cp:category/>
  <cp:contentStatus/>
</cp:coreProperties>
</file>